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L:\svn.repo\framework.git\trunk\"/>
    </mc:Choice>
  </mc:AlternateContent>
  <bookViews>
    <workbookView xWindow="0" yWindow="0" windowWidth="20490" windowHeight="7650" tabRatio="341"/>
  </bookViews>
  <sheets>
    <sheet name="Price Calculater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" l="1"/>
  <c r="S5" i="1" s="1"/>
  <c r="S6" i="1" s="1"/>
  <c r="S7" i="1" s="1"/>
  <c r="S8" i="1" s="1"/>
  <c r="S9" i="1" s="1"/>
  <c r="S10" i="1" s="1"/>
  <c r="S11" i="1" s="1"/>
  <c r="S12" i="1" s="1"/>
  <c r="S13" i="1" s="1"/>
  <c r="F4" i="1" l="1"/>
  <c r="M4" i="1" s="1"/>
  <c r="R4" i="1"/>
  <c r="R5" i="1" s="1"/>
  <c r="F5" i="1"/>
  <c r="M5" i="1" s="1"/>
  <c r="F6" i="1"/>
  <c r="M6" i="1" s="1"/>
  <c r="F7" i="1"/>
  <c r="M7" i="1" s="1"/>
  <c r="F8" i="1"/>
  <c r="M8" i="1" s="1"/>
  <c r="F9" i="1"/>
  <c r="M9" i="1" s="1"/>
  <c r="F10" i="1"/>
  <c r="M10" i="1" s="1"/>
  <c r="F11" i="1"/>
  <c r="M11" i="1" s="1"/>
  <c r="F12" i="1"/>
  <c r="M12" i="1" s="1"/>
  <c r="F13" i="1"/>
  <c r="M13" i="1" s="1"/>
  <c r="R6" i="1" l="1"/>
  <c r="P4" i="1"/>
  <c r="T4" i="1" s="1"/>
  <c r="U4" i="1" s="1"/>
  <c r="P5" i="1" l="1"/>
  <c r="T5" i="1" s="1"/>
  <c r="U5" i="1" s="1"/>
  <c r="Q4" i="1"/>
  <c r="R7" i="1"/>
  <c r="P6" i="1" l="1"/>
  <c r="T6" i="1" s="1"/>
  <c r="U6" i="1" s="1"/>
  <c r="Q5" i="1"/>
  <c r="R8" i="1"/>
  <c r="Q6" i="1" l="1"/>
  <c r="P7" i="1"/>
  <c r="T7" i="1" s="1"/>
  <c r="U7" i="1" s="1"/>
  <c r="R9" i="1"/>
  <c r="Q7" i="1" l="1"/>
  <c r="P8" i="1"/>
  <c r="T8" i="1" s="1"/>
  <c r="U8" i="1" s="1"/>
  <c r="R10" i="1"/>
  <c r="Q8" i="1" l="1"/>
  <c r="P9" i="1"/>
  <c r="T9" i="1" s="1"/>
  <c r="U9" i="1" s="1"/>
  <c r="R11" i="1"/>
  <c r="Q9" i="1" l="1"/>
  <c r="P10" i="1"/>
  <c r="T10" i="1" s="1"/>
  <c r="U10" i="1" s="1"/>
  <c r="R12" i="1"/>
  <c r="Q10" i="1" l="1"/>
  <c r="P11" i="1"/>
  <c r="T11" i="1" s="1"/>
  <c r="U11" i="1" s="1"/>
  <c r="R13" i="1"/>
  <c r="Q11" i="1" l="1"/>
  <c r="P12" i="1"/>
  <c r="T12" i="1" s="1"/>
  <c r="U12" i="1" s="1"/>
  <c r="Q12" i="1" l="1"/>
  <c r="P13" i="1"/>
  <c r="T13" i="1" s="1"/>
  <c r="U13" i="1" s="1"/>
  <c r="Q13" i="1" l="1"/>
</calcChain>
</file>

<file path=xl/sharedStrings.xml><?xml version="1.0" encoding="utf-8"?>
<sst xmlns="http://schemas.openxmlformats.org/spreadsheetml/2006/main" count="30" uniqueCount="30">
  <si>
    <t>Product</t>
  </si>
  <si>
    <t>Direct Cost</t>
  </si>
  <si>
    <t xml:space="preserve"> Cost</t>
  </si>
  <si>
    <t>Variable</t>
  </si>
  <si>
    <t>Marketplaces</t>
  </si>
  <si>
    <t>Fixed Cost</t>
  </si>
  <si>
    <t>Profit Margin</t>
  </si>
  <si>
    <t>Final Selling Price</t>
  </si>
  <si>
    <t>SL</t>
  </si>
  <si>
    <t xml:space="preserve">Assume Order </t>
  </si>
  <si>
    <t xml:space="preserve">Category Commission </t>
  </si>
  <si>
    <t xml:space="preserve">InwardTax </t>
  </si>
  <si>
    <t>Service Tax On Marketplace Fees</t>
  </si>
  <si>
    <t>For Marketplace</t>
  </si>
  <si>
    <t>Expenses</t>
  </si>
  <si>
    <t>Gross Product</t>
  </si>
  <si>
    <t>Fees</t>
  </si>
  <si>
    <t>Return(10-15%) Cost/Order</t>
  </si>
  <si>
    <t>Actual Price</t>
  </si>
  <si>
    <t>Inward Shipping Cost</t>
  </si>
  <si>
    <t>Packing</t>
  </si>
  <si>
    <t>Printing</t>
  </si>
  <si>
    <t>Rent/storage fee</t>
  </si>
  <si>
    <t>Wages</t>
  </si>
  <si>
    <t>Miscellenious</t>
  </si>
  <si>
    <t>Shipment</t>
  </si>
  <si>
    <t>Per/Month</t>
  </si>
  <si>
    <t>State Sale Tax</t>
  </si>
  <si>
    <t>Closing/Fixed/ Collection Fee</t>
  </si>
  <si>
    <t>myProduct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</si>
</sst>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BBDD0"/>
        <bgColor indexed="64"/>
      </patternFill>
    </fill>
    <fill>
      <patternFill patternType="solid">
        <fgColor rgb="FF86FF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7D1DD"/>
        <bgColor indexed="64"/>
      </patternFill>
    </fill>
    <fill>
      <patternFill patternType="solid">
        <fgColor rgb="FFFE9494"/>
        <bgColor indexed="64"/>
      </patternFill>
    </fill>
    <fill>
      <patternFill patternType="solid">
        <fgColor rgb="FFFAB8FA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2" fontId="0" fillId="6" borderId="1" xfId="0" applyNumberFormat="1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2" fontId="0" fillId="6" borderId="3" xfId="0" applyNumberFormat="1" applyFill="1" applyBorder="1" applyAlignment="1" applyProtection="1">
      <alignment horizontal="center" vertical="center"/>
      <protection hidden="1"/>
    </xf>
    <xf numFmtId="9" fontId="2" fillId="5" borderId="7" xfId="0" applyNumberFormat="1" applyFont="1" applyFill="1" applyBorder="1" applyAlignment="1" applyProtection="1">
      <alignment horizontal="center" vertical="center"/>
      <protection locked="0"/>
    </xf>
    <xf numFmtId="9" fontId="2" fillId="5" borderId="10" xfId="0" applyNumberFormat="1" applyFont="1" applyFill="1" applyBorder="1" applyAlignment="1" applyProtection="1">
      <alignment horizontal="center" vertical="center"/>
      <protection locked="0"/>
    </xf>
    <xf numFmtId="0" fontId="0" fillId="7" borderId="0" xfId="0" applyFill="1"/>
    <xf numFmtId="2" fontId="0" fillId="6" borderId="19" xfId="0" applyNumberFormat="1" applyFill="1" applyBorder="1" applyAlignment="1" applyProtection="1">
      <alignment horizontal="center" vertical="center"/>
      <protection hidden="1"/>
    </xf>
    <xf numFmtId="0" fontId="0" fillId="6" borderId="20" xfId="0" applyFill="1" applyBorder="1" applyAlignment="1" applyProtection="1">
      <alignment horizontal="center" vertical="center"/>
      <protection hidden="1"/>
    </xf>
    <xf numFmtId="9" fontId="2" fillId="5" borderId="1" xfId="0" applyNumberFormat="1" applyFont="1" applyFill="1" applyBorder="1" applyAlignment="1" applyProtection="1">
      <alignment horizontal="center"/>
      <protection locked="0"/>
    </xf>
    <xf numFmtId="0" fontId="1" fillId="7" borderId="0" xfId="0" applyFont="1" applyFill="1" applyProtection="1">
      <protection hidden="1"/>
    </xf>
    <xf numFmtId="0" fontId="0" fillId="7" borderId="17" xfId="0" applyFill="1" applyBorder="1" applyProtection="1">
      <protection locked="0"/>
    </xf>
    <xf numFmtId="0" fontId="0" fillId="7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Alignment="1" applyProtection="1">
      <alignment wrapText="1"/>
      <protection locked="0"/>
    </xf>
    <xf numFmtId="0" fontId="0" fillId="7" borderId="19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0" fillId="7" borderId="21" xfId="0" applyFill="1" applyBorder="1" applyProtection="1"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1" fillId="6" borderId="23" xfId="0" applyFont="1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horizontal="center"/>
      <protection hidden="1"/>
    </xf>
    <xf numFmtId="0" fontId="1" fillId="8" borderId="16" xfId="0" applyFont="1" applyFill="1" applyBorder="1" applyAlignment="1" applyProtection="1">
      <alignment horizontal="center"/>
      <protection hidden="1"/>
    </xf>
    <xf numFmtId="0" fontId="1" fillId="8" borderId="8" xfId="0" applyFont="1" applyFill="1" applyBorder="1" applyAlignment="1" applyProtection="1">
      <alignment vertic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0" fontId="1" fillId="9" borderId="8" xfId="0" applyFont="1" applyFill="1" applyBorder="1" applyAlignment="1" applyProtection="1">
      <alignment horizontal="center"/>
      <protection hidden="1"/>
    </xf>
    <xf numFmtId="0" fontId="1" fillId="2" borderId="12" xfId="0" applyFont="1" applyFill="1" applyBorder="1" applyProtection="1">
      <protection hidden="1"/>
    </xf>
    <xf numFmtId="0" fontId="1" fillId="2" borderId="11" xfId="0" applyFont="1" applyFill="1" applyBorder="1" applyAlignment="1" applyProtection="1">
      <alignment horizontal="center" vertical="center"/>
      <protection hidden="1"/>
    </xf>
    <xf numFmtId="0" fontId="1" fillId="2" borderId="15" xfId="0" applyFont="1" applyFill="1" applyBorder="1" applyProtection="1">
      <protection hidden="1"/>
    </xf>
    <xf numFmtId="0" fontId="1" fillId="2" borderId="2" xfId="0" applyFont="1" applyFill="1" applyBorder="1" applyProtection="1">
      <protection hidden="1"/>
    </xf>
    <xf numFmtId="0" fontId="1" fillId="2" borderId="6" xfId="0" applyFont="1" applyFill="1" applyBorder="1" applyAlignment="1" applyProtection="1">
      <alignment horizontal="center"/>
      <protection hidden="1"/>
    </xf>
    <xf numFmtId="0" fontId="1" fillId="2" borderId="1" xfId="0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Protection="1">
      <protection hidden="1"/>
    </xf>
    <xf numFmtId="0" fontId="1" fillId="10" borderId="11" xfId="0" applyFont="1" applyFill="1" applyBorder="1" applyAlignment="1" applyProtection="1">
      <alignment vertical="center"/>
      <protection hidden="1"/>
    </xf>
    <xf numFmtId="0" fontId="1" fillId="11" borderId="11" xfId="0" applyFont="1" applyFill="1" applyBorder="1" applyAlignment="1" applyProtection="1">
      <alignment horizontal="right" vertical="center"/>
      <protection hidden="1"/>
    </xf>
    <xf numFmtId="0" fontId="1" fillId="11" borderId="11" xfId="0" applyFont="1" applyFill="1" applyBorder="1" applyAlignment="1" applyProtection="1">
      <alignment vertical="center"/>
      <protection hidden="1"/>
    </xf>
    <xf numFmtId="0" fontId="1" fillId="12" borderId="11" xfId="0" applyFont="1" applyFill="1" applyBorder="1" applyAlignment="1" applyProtection="1">
      <alignment vertical="center"/>
      <protection hidden="1"/>
    </xf>
    <xf numFmtId="0" fontId="1" fillId="12" borderId="2" xfId="0" applyFont="1" applyFill="1" applyBorder="1" applyAlignment="1" applyProtection="1">
      <alignment horizontal="center"/>
      <protection hidden="1"/>
    </xf>
    <xf numFmtId="0" fontId="1" fillId="12" borderId="12" xfId="0" applyFont="1" applyFill="1" applyBorder="1" applyAlignment="1" applyProtection="1">
      <alignment horizontal="right" vertical="center"/>
      <protection hidden="1"/>
    </xf>
    <xf numFmtId="0" fontId="1" fillId="12" borderId="13" xfId="0" applyFont="1" applyFill="1" applyBorder="1" applyAlignment="1" applyProtection="1">
      <alignment vertical="center"/>
      <protection hidden="1"/>
    </xf>
    <xf numFmtId="0" fontId="1" fillId="3" borderId="14" xfId="0" applyFont="1" applyFill="1" applyBorder="1" applyAlignment="1" applyProtection="1">
      <alignment vertical="center"/>
      <protection hidden="1"/>
    </xf>
    <xf numFmtId="0" fontId="1" fillId="3" borderId="9" xfId="0" applyFont="1" applyFill="1" applyBorder="1" applyAlignment="1" applyProtection="1">
      <alignment horizontal="center" vertical="center"/>
      <protection hidden="1"/>
    </xf>
    <xf numFmtId="0" fontId="1" fillId="10" borderId="12" xfId="0" applyFont="1" applyFill="1" applyBorder="1" applyAlignment="1" applyProtection="1">
      <alignment horizontal="right" vertical="center"/>
      <protection hidden="1"/>
    </xf>
    <xf numFmtId="0" fontId="1" fillId="10" borderId="2" xfId="0" applyFont="1" applyFill="1" applyBorder="1" applyAlignment="1" applyProtection="1">
      <alignment horizontal="center" vertical="center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0" fillId="7" borderId="0" xfId="0" applyFill="1" applyProtection="1"/>
    <xf numFmtId="0" fontId="1" fillId="11" borderId="1" xfId="0" applyFont="1" applyFill="1" applyBorder="1" applyAlignment="1">
      <alignment horizontal="center"/>
    </xf>
    <xf numFmtId="0" fontId="0" fillId="7" borderId="1" xfId="0" applyFill="1" applyBorder="1" applyAlignment="1" applyProtection="1">
      <alignment horizontal="center" vertical="center" wrapText="1"/>
      <protection locked="0"/>
    </xf>
    <xf numFmtId="0" fontId="1" fillId="10" borderId="2" xfId="0" applyFont="1" applyFill="1" applyBorder="1" applyAlignment="1" applyProtection="1">
      <alignment horizontal="center" vertical="center" wrapText="1"/>
      <protection hidden="1"/>
    </xf>
    <xf numFmtId="0" fontId="0" fillId="7" borderId="1" xfId="0" applyFill="1" applyBorder="1" applyAlignment="1" applyProtection="1">
      <alignment horizontal="right" vertical="center"/>
      <protection locked="0"/>
    </xf>
    <xf numFmtId="0" fontId="1" fillId="15" borderId="14" xfId="0" applyFont="1" applyFill="1" applyBorder="1" applyAlignment="1" applyProtection="1">
      <alignment horizontal="center" vertical="center" wrapText="1"/>
      <protection hidden="1"/>
    </xf>
    <xf numFmtId="0" fontId="0" fillId="6" borderId="9" xfId="0" applyNumberFormat="1" applyFill="1" applyBorder="1" applyAlignment="1" applyProtection="1">
      <alignment horizontal="center" vertical="center"/>
      <protection hidden="1"/>
    </xf>
    <xf numFmtId="0" fontId="0" fillId="6" borderId="25" xfId="0" applyNumberFormat="1" applyFill="1" applyBorder="1" applyAlignment="1" applyProtection="1">
      <alignment horizontal="center" vertical="center"/>
      <protection hidden="1"/>
    </xf>
    <xf numFmtId="0" fontId="1" fillId="2" borderId="5" xfId="0" applyFont="1" applyFill="1" applyBorder="1" applyAlignment="1" applyProtection="1">
      <alignment horizontal="center" vertical="center" wrapText="1"/>
      <protection hidden="1"/>
    </xf>
    <xf numFmtId="9" fontId="2" fillId="5" borderId="5" xfId="0" applyNumberFormat="1" applyFont="1" applyFill="1" applyBorder="1" applyAlignment="1" applyProtection="1">
      <alignment horizontal="center" vertical="center"/>
      <protection locked="0"/>
    </xf>
    <xf numFmtId="0" fontId="0" fillId="6" borderId="5" xfId="0" applyNumberFormat="1" applyFill="1" applyBorder="1" applyAlignment="1" applyProtection="1">
      <alignment horizontal="center" vertical="center"/>
      <protection hidden="1"/>
    </xf>
    <xf numFmtId="0" fontId="1" fillId="14" borderId="26" xfId="0" applyFont="1" applyFill="1" applyBorder="1" applyAlignment="1" applyProtection="1">
      <alignment vertical="center"/>
      <protection hidden="1"/>
    </xf>
    <xf numFmtId="0" fontId="1" fillId="14" borderId="27" xfId="0" applyFont="1" applyFill="1" applyBorder="1" applyProtection="1">
      <protection hidden="1"/>
    </xf>
    <xf numFmtId="2" fontId="0" fillId="6" borderId="28" xfId="0" applyNumberFormat="1" applyFill="1" applyBorder="1" applyAlignment="1" applyProtection="1">
      <alignment horizontal="center" vertical="center"/>
      <protection hidden="1"/>
    </xf>
    <xf numFmtId="2" fontId="0" fillId="6" borderId="29" xfId="0" applyNumberForma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hidden="1"/>
    </xf>
    <xf numFmtId="0" fontId="1" fillId="13" borderId="15" xfId="0" applyFont="1" applyFill="1" applyBorder="1" applyAlignment="1" applyProtection="1">
      <alignment horizontal="center" vertical="center" wrapText="1"/>
      <protection hidden="1"/>
    </xf>
    <xf numFmtId="0" fontId="1" fillId="10" borderId="15" xfId="0" applyFont="1" applyFill="1" applyBorder="1" applyAlignment="1" applyProtection="1">
      <alignment horizontal="center" vertical="center" wrapText="1"/>
      <protection hidden="1"/>
    </xf>
    <xf numFmtId="2" fontId="0" fillId="6" borderId="1" xfId="0" applyNumberFormat="1" applyFill="1" applyBorder="1" applyAlignment="1" applyProtection="1">
      <alignment horizontal="center" vertical="center"/>
      <protection hidden="1"/>
    </xf>
    <xf numFmtId="2" fontId="0" fillId="6" borderId="19" xfId="0" applyNumberForma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B8FA"/>
      <color rgb="FFFE9494"/>
      <color rgb="FFFD6767"/>
      <color rgb="FFDBBDD0"/>
      <color rgb="FF97D1DD"/>
      <color rgb="FF86FF43"/>
      <color rgb="FFC59EE2"/>
      <color rgb="FFBCE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0</xdr:row>
          <xdr:rowOff>495300</xdr:rowOff>
        </xdr:from>
        <xdr:to>
          <xdr:col>2</xdr:col>
          <xdr:colOff>942975</xdr:colOff>
          <xdr:row>0</xdr:row>
          <xdr:rowOff>942975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289445</xdr:colOff>
      <xdr:row>0</xdr:row>
      <xdr:rowOff>9525</xdr:rowOff>
    </xdr:from>
    <xdr:to>
      <xdr:col>12</xdr:col>
      <xdr:colOff>238125</xdr:colOff>
      <xdr:row>1</xdr:row>
      <xdr:rowOff>137732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3220" y="9525"/>
          <a:ext cx="1434580" cy="13378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7"/>
  <sheetViews>
    <sheetView tabSelected="1" topLeftCell="K1" zoomScaleNormal="100" workbookViewId="0">
      <selection activeCell="U4" sqref="U4"/>
    </sheetView>
  </sheetViews>
  <sheetFormatPr defaultRowHeight="15" x14ac:dyDescent="0.25"/>
  <cols>
    <col min="1" max="1" width="4.140625" style="6" customWidth="1"/>
    <col min="2" max="2" width="12.85546875" style="6" customWidth="1"/>
    <col min="3" max="3" width="14.5703125" style="6" customWidth="1"/>
    <col min="4" max="4" width="11.28515625" style="6" customWidth="1"/>
    <col min="5" max="5" width="19.28515625" style="6" customWidth="1"/>
    <col min="6" max="6" width="10.85546875" style="6" customWidth="1"/>
    <col min="7" max="7" width="5.140625" style="6" customWidth="1"/>
    <col min="8" max="8" width="8.7109375" style="6" customWidth="1"/>
    <col min="9" max="9" width="7.85546875" style="6" customWidth="1"/>
    <col min="10" max="10" width="15.42578125" style="6" customWidth="1"/>
    <col min="11" max="11" width="9.140625" style="6" customWidth="1"/>
    <col min="12" max="12" width="13.140625" style="6" customWidth="1"/>
    <col min="13" max="13" width="13.5703125" style="6" customWidth="1"/>
    <col min="14" max="14" width="15.5703125" style="6" customWidth="1"/>
    <col min="15" max="15" width="14.28515625" style="6" customWidth="1"/>
    <col min="16" max="16" width="16.140625" style="6" customWidth="1"/>
    <col min="17" max="17" width="18.42578125" style="6" customWidth="1"/>
    <col min="18" max="18" width="14.28515625" style="6" customWidth="1"/>
    <col min="19" max="19" width="19.28515625" style="6" customWidth="1"/>
    <col min="20" max="20" width="16.7109375" style="6" customWidth="1"/>
    <col min="21" max="21" width="8" style="6" customWidth="1"/>
    <col min="22" max="22" width="18" style="6" customWidth="1"/>
    <col min="23" max="16384" width="9.140625" style="6"/>
  </cols>
  <sheetData>
    <row r="1" spans="1:21" ht="95.25" customHeight="1" thickBot="1" x14ac:dyDescent="0.3">
      <c r="C1" s="64"/>
    </row>
    <row r="2" spans="1:21" s="10" customFormat="1" ht="28.5" customHeight="1" thickBot="1" x14ac:dyDescent="0.3">
      <c r="A2" s="24" t="s">
        <v>8</v>
      </c>
      <c r="B2" s="25" t="s">
        <v>0</v>
      </c>
      <c r="C2" s="27" t="s">
        <v>9</v>
      </c>
      <c r="D2" s="29"/>
      <c r="E2" s="30" t="s">
        <v>1</v>
      </c>
      <c r="F2" s="31"/>
      <c r="G2" s="35"/>
      <c r="H2" s="37" t="s">
        <v>3</v>
      </c>
      <c r="I2" s="38" t="s">
        <v>2</v>
      </c>
      <c r="J2" s="41"/>
      <c r="K2" s="39" t="s">
        <v>5</v>
      </c>
      <c r="L2" s="42"/>
      <c r="M2" s="43" t="s">
        <v>15</v>
      </c>
      <c r="N2" s="45" t="s">
        <v>4</v>
      </c>
      <c r="O2" s="36" t="s">
        <v>16</v>
      </c>
      <c r="P2" s="66" t="s">
        <v>10</v>
      </c>
      <c r="Q2" s="65" t="s">
        <v>12</v>
      </c>
      <c r="R2" s="47" t="s">
        <v>6</v>
      </c>
      <c r="S2" s="54" t="s">
        <v>17</v>
      </c>
      <c r="T2" s="60" t="s">
        <v>7</v>
      </c>
      <c r="U2" s="57" t="s">
        <v>27</v>
      </c>
    </row>
    <row r="3" spans="1:21" s="10" customFormat="1" ht="29.25" customHeight="1" thickBot="1" x14ac:dyDescent="0.3">
      <c r="A3" s="23"/>
      <c r="B3" s="26"/>
      <c r="C3" s="28" t="s">
        <v>26</v>
      </c>
      <c r="D3" s="32" t="s">
        <v>18</v>
      </c>
      <c r="E3" s="33" t="s">
        <v>19</v>
      </c>
      <c r="F3" s="34" t="s">
        <v>11</v>
      </c>
      <c r="G3" s="9">
        <v>0.05</v>
      </c>
      <c r="H3" s="50" t="s">
        <v>20</v>
      </c>
      <c r="I3" s="50" t="s">
        <v>21</v>
      </c>
      <c r="J3" s="40" t="s">
        <v>22</v>
      </c>
      <c r="K3" s="40" t="s">
        <v>23</v>
      </c>
      <c r="L3" s="40" t="s">
        <v>24</v>
      </c>
      <c r="M3" s="44" t="s">
        <v>14</v>
      </c>
      <c r="N3" s="52" t="s">
        <v>28</v>
      </c>
      <c r="O3" s="46" t="s">
        <v>25</v>
      </c>
      <c r="P3" s="4">
        <v>0.13</v>
      </c>
      <c r="Q3" s="4">
        <v>0.15</v>
      </c>
      <c r="R3" s="4">
        <v>0.5</v>
      </c>
      <c r="S3" s="5">
        <v>0.15</v>
      </c>
      <c r="T3" s="61" t="s">
        <v>13</v>
      </c>
      <c r="U3" s="58">
        <v>0.05</v>
      </c>
    </row>
    <row r="4" spans="1:21" ht="19.5" customHeight="1" x14ac:dyDescent="0.25">
      <c r="A4" s="11">
        <v>1</v>
      </c>
      <c r="B4" s="12" t="s">
        <v>29</v>
      </c>
      <c r="C4" s="12">
        <v>20</v>
      </c>
      <c r="D4" s="13">
        <v>100</v>
      </c>
      <c r="E4" s="14">
        <v>20</v>
      </c>
      <c r="F4" s="67">
        <f>D4*G3</f>
        <v>5</v>
      </c>
      <c r="G4" s="67"/>
      <c r="H4" s="15">
        <v>4</v>
      </c>
      <c r="I4" s="13">
        <v>2</v>
      </c>
      <c r="J4" s="53">
        <v>10</v>
      </c>
      <c r="K4" s="53">
        <v>10</v>
      </c>
      <c r="L4" s="53"/>
      <c r="M4" s="1">
        <f>D4+E4+F4+H4+I4+J4+K4+L4+N4+O4</f>
        <v>151</v>
      </c>
      <c r="N4" s="51"/>
      <c r="O4" s="16"/>
      <c r="P4" s="3">
        <f t="shared" ref="P4:P13" si="0">M4*P3</f>
        <v>19.63</v>
      </c>
      <c r="Q4" s="3">
        <f t="shared" ref="Q4:Q13" si="1">(N4+O4+P4)*Q3</f>
        <v>2.9444999999999997</v>
      </c>
      <c r="R4" s="2">
        <f t="shared" ref="R4:R13" si="2">D4*R3</f>
        <v>50</v>
      </c>
      <c r="S4" s="55">
        <f>(C4*S3)/C4*O4</f>
        <v>0</v>
      </c>
      <c r="T4" s="62">
        <f>P4+M4+R4+S4</f>
        <v>220.63</v>
      </c>
      <c r="U4" s="59">
        <f>T4*5%</f>
        <v>11.031500000000001</v>
      </c>
    </row>
    <row r="5" spans="1:21" ht="19.5" customHeight="1" x14ac:dyDescent="0.25">
      <c r="A5" s="11">
        <v>2</v>
      </c>
      <c r="B5" s="12"/>
      <c r="C5" s="12"/>
      <c r="D5" s="13"/>
      <c r="E5" s="14"/>
      <c r="F5" s="67">
        <f t="shared" ref="F5:F13" si="3">D5*G4</f>
        <v>0</v>
      </c>
      <c r="G5" s="67"/>
      <c r="H5" s="15"/>
      <c r="I5" s="13"/>
      <c r="J5" s="16"/>
      <c r="K5" s="16"/>
      <c r="L5" s="16"/>
      <c r="M5" s="1">
        <f t="shared" ref="M5:M13" si="4">D5+E5+F5+H5+I5+J5+K5+L5</f>
        <v>0</v>
      </c>
      <c r="N5" s="16"/>
      <c r="O5" s="16"/>
      <c r="P5" s="1">
        <f t="shared" si="0"/>
        <v>0</v>
      </c>
      <c r="Q5" s="1">
        <f t="shared" si="1"/>
        <v>0</v>
      </c>
      <c r="R5" s="2">
        <f t="shared" si="2"/>
        <v>0</v>
      </c>
      <c r="S5" s="55" t="e">
        <f t="shared" ref="S5:S13" si="5">(C5*S4)/C5*O5</f>
        <v>#DIV/0!</v>
      </c>
      <c r="T5" s="62" t="e">
        <f t="shared" ref="T5:T13" si="6">P5+M5+R5+S5</f>
        <v>#DIV/0!</v>
      </c>
      <c r="U5" s="59" t="e">
        <f t="shared" ref="U5:U13" si="7">T5*5%</f>
        <v>#DIV/0!</v>
      </c>
    </row>
    <row r="6" spans="1:21" ht="19.5" customHeight="1" x14ac:dyDescent="0.25">
      <c r="A6" s="11">
        <v>3</v>
      </c>
      <c r="B6" s="12"/>
      <c r="C6" s="12"/>
      <c r="D6" s="13"/>
      <c r="E6" s="14"/>
      <c r="F6" s="67">
        <f t="shared" si="3"/>
        <v>0</v>
      </c>
      <c r="G6" s="67"/>
      <c r="H6" s="15"/>
      <c r="I6" s="13"/>
      <c r="J6" s="16"/>
      <c r="K6" s="16"/>
      <c r="L6" s="16"/>
      <c r="M6" s="1">
        <f t="shared" si="4"/>
        <v>0</v>
      </c>
      <c r="N6" s="16"/>
      <c r="O6" s="16"/>
      <c r="P6" s="1">
        <f t="shared" si="0"/>
        <v>0</v>
      </c>
      <c r="Q6" s="1">
        <f t="shared" si="1"/>
        <v>0</v>
      </c>
      <c r="R6" s="2">
        <f t="shared" si="2"/>
        <v>0</v>
      </c>
      <c r="S6" s="55" t="e">
        <f t="shared" si="5"/>
        <v>#DIV/0!</v>
      </c>
      <c r="T6" s="62" t="e">
        <f t="shared" si="6"/>
        <v>#DIV/0!</v>
      </c>
      <c r="U6" s="59" t="e">
        <f t="shared" si="7"/>
        <v>#DIV/0!</v>
      </c>
    </row>
    <row r="7" spans="1:21" ht="19.5" customHeight="1" x14ac:dyDescent="0.25">
      <c r="A7" s="11">
        <v>4</v>
      </c>
      <c r="B7" s="12"/>
      <c r="C7" s="12"/>
      <c r="D7" s="13"/>
      <c r="E7" s="14"/>
      <c r="F7" s="67">
        <f t="shared" si="3"/>
        <v>0</v>
      </c>
      <c r="G7" s="67"/>
      <c r="H7" s="15"/>
      <c r="I7" s="13"/>
      <c r="J7" s="16"/>
      <c r="K7" s="16"/>
      <c r="L7" s="16"/>
      <c r="M7" s="1">
        <f t="shared" si="4"/>
        <v>0</v>
      </c>
      <c r="N7" s="16"/>
      <c r="O7" s="16"/>
      <c r="P7" s="1">
        <f t="shared" si="0"/>
        <v>0</v>
      </c>
      <c r="Q7" s="1">
        <f t="shared" si="1"/>
        <v>0</v>
      </c>
      <c r="R7" s="2">
        <f t="shared" si="2"/>
        <v>0</v>
      </c>
      <c r="S7" s="55" t="e">
        <f t="shared" si="5"/>
        <v>#DIV/0!</v>
      </c>
      <c r="T7" s="62" t="e">
        <f t="shared" si="6"/>
        <v>#DIV/0!</v>
      </c>
      <c r="U7" s="59" t="e">
        <f t="shared" si="7"/>
        <v>#DIV/0!</v>
      </c>
    </row>
    <row r="8" spans="1:21" ht="19.5" customHeight="1" x14ac:dyDescent="0.25">
      <c r="A8" s="11">
        <v>5</v>
      </c>
      <c r="B8" s="12"/>
      <c r="C8" s="12"/>
      <c r="D8" s="13"/>
      <c r="E8" s="14"/>
      <c r="F8" s="67">
        <f t="shared" si="3"/>
        <v>0</v>
      </c>
      <c r="G8" s="67"/>
      <c r="H8" s="15"/>
      <c r="I8" s="13"/>
      <c r="J8" s="16"/>
      <c r="K8" s="16"/>
      <c r="L8" s="16"/>
      <c r="M8" s="1">
        <f t="shared" si="4"/>
        <v>0</v>
      </c>
      <c r="N8" s="16"/>
      <c r="O8" s="16"/>
      <c r="P8" s="1">
        <f t="shared" si="0"/>
        <v>0</v>
      </c>
      <c r="Q8" s="1">
        <f t="shared" si="1"/>
        <v>0</v>
      </c>
      <c r="R8" s="2">
        <f t="shared" si="2"/>
        <v>0</v>
      </c>
      <c r="S8" s="55" t="e">
        <f t="shared" si="5"/>
        <v>#DIV/0!</v>
      </c>
      <c r="T8" s="62" t="e">
        <f t="shared" si="6"/>
        <v>#DIV/0!</v>
      </c>
      <c r="U8" s="59" t="e">
        <f t="shared" si="7"/>
        <v>#DIV/0!</v>
      </c>
    </row>
    <row r="9" spans="1:21" ht="19.5" customHeight="1" x14ac:dyDescent="0.25">
      <c r="A9" s="11">
        <v>6</v>
      </c>
      <c r="B9" s="12"/>
      <c r="C9" s="12"/>
      <c r="D9" s="13"/>
      <c r="E9" s="14"/>
      <c r="F9" s="67">
        <f t="shared" si="3"/>
        <v>0</v>
      </c>
      <c r="G9" s="67"/>
      <c r="H9" s="15"/>
      <c r="I9" s="13"/>
      <c r="J9" s="16"/>
      <c r="K9" s="16"/>
      <c r="L9" s="16"/>
      <c r="M9" s="1">
        <f t="shared" si="4"/>
        <v>0</v>
      </c>
      <c r="N9" s="16"/>
      <c r="O9" s="16"/>
      <c r="P9" s="1">
        <f t="shared" si="0"/>
        <v>0</v>
      </c>
      <c r="Q9" s="1">
        <f t="shared" si="1"/>
        <v>0</v>
      </c>
      <c r="R9" s="2">
        <f t="shared" si="2"/>
        <v>0</v>
      </c>
      <c r="S9" s="55" t="e">
        <f t="shared" si="5"/>
        <v>#DIV/0!</v>
      </c>
      <c r="T9" s="62" t="e">
        <f t="shared" si="6"/>
        <v>#DIV/0!</v>
      </c>
      <c r="U9" s="59" t="e">
        <f t="shared" si="7"/>
        <v>#DIV/0!</v>
      </c>
    </row>
    <row r="10" spans="1:21" ht="19.5" customHeight="1" x14ac:dyDescent="0.25">
      <c r="A10" s="11">
        <v>7</v>
      </c>
      <c r="B10" s="12"/>
      <c r="C10" s="12"/>
      <c r="D10" s="13"/>
      <c r="E10" s="14"/>
      <c r="F10" s="67">
        <f t="shared" si="3"/>
        <v>0</v>
      </c>
      <c r="G10" s="67"/>
      <c r="H10" s="15"/>
      <c r="I10" s="13"/>
      <c r="J10" s="16"/>
      <c r="K10" s="16"/>
      <c r="L10" s="16"/>
      <c r="M10" s="1">
        <f t="shared" si="4"/>
        <v>0</v>
      </c>
      <c r="N10" s="16"/>
      <c r="O10" s="16"/>
      <c r="P10" s="1">
        <f t="shared" si="0"/>
        <v>0</v>
      </c>
      <c r="Q10" s="1">
        <f t="shared" si="1"/>
        <v>0</v>
      </c>
      <c r="R10" s="2">
        <f t="shared" si="2"/>
        <v>0</v>
      </c>
      <c r="S10" s="55" t="e">
        <f t="shared" si="5"/>
        <v>#DIV/0!</v>
      </c>
      <c r="T10" s="62" t="e">
        <f t="shared" si="6"/>
        <v>#DIV/0!</v>
      </c>
      <c r="U10" s="59" t="e">
        <f t="shared" si="7"/>
        <v>#DIV/0!</v>
      </c>
    </row>
    <row r="11" spans="1:21" ht="19.5" customHeight="1" x14ac:dyDescent="0.25">
      <c r="A11" s="11">
        <v>8</v>
      </c>
      <c r="B11" s="12"/>
      <c r="C11" s="12"/>
      <c r="D11" s="13"/>
      <c r="E11" s="14"/>
      <c r="F11" s="67">
        <f t="shared" si="3"/>
        <v>0</v>
      </c>
      <c r="G11" s="67"/>
      <c r="H11" s="15"/>
      <c r="I11" s="13"/>
      <c r="J11" s="16"/>
      <c r="K11" s="16"/>
      <c r="L11" s="16"/>
      <c r="M11" s="1">
        <f t="shared" si="4"/>
        <v>0</v>
      </c>
      <c r="N11" s="16"/>
      <c r="O11" s="16"/>
      <c r="P11" s="1">
        <f t="shared" si="0"/>
        <v>0</v>
      </c>
      <c r="Q11" s="1">
        <f t="shared" si="1"/>
        <v>0</v>
      </c>
      <c r="R11" s="2">
        <f t="shared" si="2"/>
        <v>0</v>
      </c>
      <c r="S11" s="55" t="e">
        <f t="shared" si="5"/>
        <v>#DIV/0!</v>
      </c>
      <c r="T11" s="62" t="e">
        <f t="shared" si="6"/>
        <v>#DIV/0!</v>
      </c>
      <c r="U11" s="59" t="e">
        <f t="shared" si="7"/>
        <v>#DIV/0!</v>
      </c>
    </row>
    <row r="12" spans="1:21" ht="19.5" customHeight="1" x14ac:dyDescent="0.25">
      <c r="A12" s="11">
        <v>9</v>
      </c>
      <c r="B12" s="12"/>
      <c r="C12" s="12"/>
      <c r="D12" s="13"/>
      <c r="E12" s="14"/>
      <c r="F12" s="67">
        <f t="shared" si="3"/>
        <v>0</v>
      </c>
      <c r="G12" s="67"/>
      <c r="H12" s="15"/>
      <c r="I12" s="13"/>
      <c r="J12" s="16"/>
      <c r="K12" s="16"/>
      <c r="L12" s="16"/>
      <c r="M12" s="1">
        <f t="shared" si="4"/>
        <v>0</v>
      </c>
      <c r="N12" s="16"/>
      <c r="O12" s="16"/>
      <c r="P12" s="1">
        <f t="shared" si="0"/>
        <v>0</v>
      </c>
      <c r="Q12" s="1">
        <f t="shared" si="1"/>
        <v>0</v>
      </c>
      <c r="R12" s="2">
        <f t="shared" si="2"/>
        <v>0</v>
      </c>
      <c r="S12" s="55" t="e">
        <f t="shared" si="5"/>
        <v>#DIV/0!</v>
      </c>
      <c r="T12" s="62" t="e">
        <f t="shared" si="6"/>
        <v>#DIV/0!</v>
      </c>
      <c r="U12" s="59" t="e">
        <f t="shared" si="7"/>
        <v>#DIV/0!</v>
      </c>
    </row>
    <row r="13" spans="1:21" ht="21.75" customHeight="1" thickBot="1" x14ac:dyDescent="0.3">
      <c r="A13" s="17">
        <v>10</v>
      </c>
      <c r="B13" s="18"/>
      <c r="C13" s="18"/>
      <c r="D13" s="19"/>
      <c r="E13" s="20"/>
      <c r="F13" s="68">
        <f t="shared" si="3"/>
        <v>0</v>
      </c>
      <c r="G13" s="68"/>
      <c r="H13" s="21"/>
      <c r="I13" s="19"/>
      <c r="J13" s="22"/>
      <c r="K13" s="22"/>
      <c r="L13" s="22"/>
      <c r="M13" s="1">
        <f t="shared" si="4"/>
        <v>0</v>
      </c>
      <c r="N13" s="22"/>
      <c r="O13" s="22"/>
      <c r="P13" s="7">
        <f t="shared" si="0"/>
        <v>0</v>
      </c>
      <c r="Q13" s="7">
        <f t="shared" si="1"/>
        <v>0</v>
      </c>
      <c r="R13" s="8">
        <f t="shared" si="2"/>
        <v>0</v>
      </c>
      <c r="S13" s="56" t="e">
        <f t="shared" si="5"/>
        <v>#DIV/0!</v>
      </c>
      <c r="T13" s="63" t="e">
        <f t="shared" si="6"/>
        <v>#DIV/0!</v>
      </c>
      <c r="U13" s="59" t="e">
        <f t="shared" si="7"/>
        <v>#DIV/0!</v>
      </c>
    </row>
    <row r="14" spans="1:21" ht="15" customHeight="1" x14ac:dyDescent="0.25">
      <c r="C14" s="48"/>
    </row>
    <row r="15" spans="1:21" x14ac:dyDescent="0.25">
      <c r="C15" s="49"/>
    </row>
    <row r="16" spans="1:21" x14ac:dyDescent="0.25">
      <c r="C16" s="49"/>
    </row>
    <row r="17" spans="3:3" ht="3.75" customHeight="1" x14ac:dyDescent="0.25">
      <c r="C17" s="48"/>
    </row>
  </sheetData>
  <sheetProtection algorithmName="SHA-512" hashValue="SpkajuVhYhO62bMp0024qhUIc0IFAaygtWXWtH/N9ARCz8zkN+LweOwPAnHEVhMnYLFmFAOu2fMzU+s7bURwIQ==" saltValue="lvrAatI1mAshqb2n6eeOtw==" spinCount="100000" sheet="1" objects="1" scenarios="1"/>
  <mergeCells count="10">
    <mergeCell ref="F9:G9"/>
    <mergeCell ref="F10:G10"/>
    <mergeCell ref="F11:G11"/>
    <mergeCell ref="F12:G12"/>
    <mergeCell ref="F13:G13"/>
    <mergeCell ref="F4:G4"/>
    <mergeCell ref="F5:G5"/>
    <mergeCell ref="F6:G6"/>
    <mergeCell ref="F7:G7"/>
    <mergeCell ref="F8:G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r:id="rId5">
            <anchor moveWithCells="1">
              <from>
                <xdr:col>1</xdr:col>
                <xdr:colOff>838200</xdr:colOff>
                <xdr:row>0</xdr:row>
                <xdr:rowOff>495300</xdr:rowOff>
              </from>
              <to>
                <xdr:col>2</xdr:col>
                <xdr:colOff>942975</xdr:colOff>
                <xdr:row>0</xdr:row>
                <xdr:rowOff>942975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Price Calculater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</dc:creator>
  <cp:lastModifiedBy>Windows User</cp:lastModifiedBy>
  <cp:lastPrinted>2017-05-01T06:30:49Z</cp:lastPrinted>
  <dcterms:created xsi:type="dcterms:W3CDTF">2017-04-30T08:49:34Z</dcterms:created>
  <dcterms:modified xsi:type="dcterms:W3CDTF">2018-01-26T19:48:20Z</dcterms:modified>
</cp:coreProperties>
</file>